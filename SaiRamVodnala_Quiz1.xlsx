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iram\Desktop\Predective_Analytics\Quizzes\"/>
    </mc:Choice>
  </mc:AlternateContent>
  <xr:revisionPtr revIDLastSave="0" documentId="13_ncr:1_{1FD6F240-A86B-4AF2-A5F0-3E4916EC5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NN_Model" sheetId="1" r:id="rId1"/>
    <sheet name="Visualization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4" i="1"/>
  <c r="I25" i="1"/>
  <c r="I26" i="1"/>
  <c r="I27" i="1"/>
  <c r="I19" i="1"/>
  <c r="I20" i="1"/>
  <c r="I21" i="1"/>
  <c r="I22" i="1"/>
  <c r="I23" i="1"/>
  <c r="I18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<sst xmlns="http://schemas.openxmlformats.org/spreadsheetml/2006/main" count="60" uniqueCount="22">
  <si>
    <t>Age</t>
  </si>
  <si>
    <t>Loan</t>
  </si>
  <si>
    <t>Default</t>
  </si>
  <si>
    <t>Distance</t>
  </si>
  <si>
    <t>N</t>
  </si>
  <si>
    <t>Y</t>
  </si>
  <si>
    <t>Euclidean Distances</t>
  </si>
  <si>
    <t>Sorted Euclidean Distances</t>
  </si>
  <si>
    <t>K</t>
  </si>
  <si>
    <t>Row Labels</t>
  </si>
  <si>
    <t>Grand Total</t>
  </si>
  <si>
    <t>Column Labels</t>
  </si>
  <si>
    <t>Average of Loan</t>
  </si>
  <si>
    <t>Loan Non-Default</t>
  </si>
  <si>
    <t>Loan Default</t>
  </si>
  <si>
    <t>?</t>
  </si>
  <si>
    <t>*New Data Point</t>
  </si>
  <si>
    <r>
      <t xml:space="preserve">For k=1: The nearest neighbor is a 'Y', so the </t>
    </r>
    <r>
      <rPr>
        <sz val="11"/>
        <color rgb="FFFFFF00"/>
        <rFont val="Calibri"/>
        <family val="2"/>
        <scheme val="minor"/>
      </rPr>
      <t>New Data Point</t>
    </r>
    <r>
      <rPr>
        <sz val="11"/>
        <color theme="1"/>
        <rFont val="Calibri"/>
        <family val="2"/>
        <scheme val="minor"/>
      </rPr>
      <t xml:space="preserve"> is classified as Default (Y).</t>
    </r>
  </si>
  <si>
    <t>For k=2: One 'Y' and one 'N' , tie-breaker can be by taking the nearest point, so it remains 'N'.</t>
  </si>
  <si>
    <t>For k=3: Two 'Y' and one 'N' — majority is 'Y', so classified as 'Y'.</t>
  </si>
  <si>
    <t>For k=4: Three 'Y' and one 'N' — majority is 'Y', so classified as 'Y'.</t>
  </si>
  <si>
    <t>For k=5: Three 'Y' and two 'N' — majority is 'Y', so classified as 'Y'.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</si>
</sst>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4" borderId="1" xfId="0" applyFont="1" applyFill="1" applyBorder="1" applyAlignment="1">
      <alignment horizontal="center" vertical="top"/>
    </xf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</a:t>
            </a:r>
            <a:r>
              <a:rPr lang="en-IN" baseline="0"/>
              <a:t> vs 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Visualization!$B$21</c:f>
              <c:strCache>
                <c:ptCount val="1"/>
                <c:pt idx="0">
                  <c:v>Loan Non-Default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Visualization!$A$22:$A$31</c:f>
              <c:numCache>
                <c:formatCode>General</c:formatCode>
                <c:ptCount val="10"/>
                <c:pt idx="0">
                  <c:v>23</c:v>
                </c:pt>
                <c:pt idx="1">
                  <c:v>25</c:v>
                </c:pt>
                <c:pt idx="2">
                  <c:v>33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48</c:v>
                </c:pt>
                <c:pt idx="7">
                  <c:v>52</c:v>
                </c:pt>
                <c:pt idx="8">
                  <c:v>60</c:v>
                </c:pt>
                <c:pt idx="9">
                  <c:v>48</c:v>
                </c:pt>
              </c:numCache>
            </c:numRef>
          </c:xVal>
          <c:yVal>
            <c:numRef>
              <c:f>Visualization!$B$22:$B$31</c:f>
              <c:numCache>
                <c:formatCode>General</c:formatCode>
                <c:ptCount val="10"/>
                <c:pt idx="1">
                  <c:v>30000</c:v>
                </c:pt>
                <c:pt idx="3">
                  <c:v>90000</c:v>
                </c:pt>
                <c:pt idx="5">
                  <c:v>80000</c:v>
                </c:pt>
                <c:pt idx="7">
                  <c:v>18000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3-498B-BE54-B33012366CCC}"/>
            </c:ext>
          </c:extLst>
        </c:ser>
        <c:ser>
          <c:idx val="1"/>
          <c:order val="1"/>
          <c:tx>
            <c:strRef>
              <c:f>Visualization!$C$21</c:f>
              <c:strCache>
                <c:ptCount val="1"/>
                <c:pt idx="0">
                  <c:v>Loan Default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Visualization!$A$22:$A$31</c:f>
              <c:numCache>
                <c:formatCode>General</c:formatCode>
                <c:ptCount val="10"/>
                <c:pt idx="0">
                  <c:v>23</c:v>
                </c:pt>
                <c:pt idx="1">
                  <c:v>25</c:v>
                </c:pt>
                <c:pt idx="2">
                  <c:v>33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48</c:v>
                </c:pt>
                <c:pt idx="7">
                  <c:v>52</c:v>
                </c:pt>
                <c:pt idx="8">
                  <c:v>60</c:v>
                </c:pt>
                <c:pt idx="9">
                  <c:v>48</c:v>
                </c:pt>
              </c:numCache>
            </c:numRef>
          </c:xVal>
          <c:yVal>
            <c:numRef>
              <c:f>Visualization!$C$22:$C$31</c:f>
              <c:numCache>
                <c:formatCode>General</c:formatCode>
                <c:ptCount val="10"/>
                <c:pt idx="0">
                  <c:v>95000</c:v>
                </c:pt>
                <c:pt idx="2">
                  <c:v>150000</c:v>
                </c:pt>
                <c:pt idx="4">
                  <c:v>62000</c:v>
                </c:pt>
                <c:pt idx="6">
                  <c:v>220000</c:v>
                </c:pt>
                <c:pt idx="8">
                  <c:v>100000</c:v>
                </c:pt>
                <c:pt idx="9">
                  <c:v>142000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3-498B-BE54-B3301236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272944"/>
        <c:axId val="631273424"/>
      </c:scatterChart>
      <c:valAx>
        <c:axId val="63127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73424"/>
        <c:crosses val="autoZero"/>
        <c:crossBetween val="midCat"/>
      </c:valAx>
      <c:valAx>
        <c:axId val="6312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LOAN($)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7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1181100</xdr:colOff>
      <xdr:row>15</xdr:row>
      <xdr:rowOff>7620</xdr:rowOff>
    </xdr:from>
    <xdr:ext cx="5295900" cy="2628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AC0F2A-E5AB-A138-EA97-722609EB1F8D}"/>
            </a:ext>
          </a:extLst>
        </xdr:cNvPr>
        <xdr:cNvSpPr txBox="1"/>
      </xdr:nvSpPr>
      <xdr:spPr>
        <a:xfrm>
          <a:off x="8404860" y="2750820"/>
          <a:ext cx="5295900" cy="2628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Pros and Cons of kNN (Instance-Based Learning):</a:t>
          </a:r>
        </a:p>
        <a:p>
          <a:r>
            <a:rPr lang="en-IN" sz="1100" b="1"/>
            <a:t>Pros: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100"/>
            <a:t>Simple and effective, requires no explicit training step.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100"/>
            <a:t>Naturally handles multi-class cases and can work with any number of classes.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IN" sz="1100"/>
            <a:t>Makes decisions based on the local data landscape, which can be highly adaptive to changes.</a:t>
          </a:r>
        </a:p>
        <a:p>
          <a:endParaRPr lang="en-IN" sz="1100"/>
        </a:p>
        <a:p>
          <a:r>
            <a:rPr lang="en-IN" sz="1100" b="1"/>
            <a:t>Cons: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/>
            <a:t>Computationally intensive during classification because it needs to compute the distance to all training samples.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/>
            <a:t>Requires a good method for handling ties, especially when no clear majority is present.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/>
            <a:t>Performance heavily depends on the choice of k and the distance metric.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/>
            <a:t>Sensitive to the scale of data features and requires normalization for better accuracy.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/>
            <a:t>High memory storage needed as all training data must be kept.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19</xdr:row>
      <xdr:rowOff>64770</xdr:rowOff>
    </xdr:from>
    <xdr:to>
      <xdr:col>12</xdr:col>
      <xdr:colOff>266700</xdr:colOff>
      <xdr:row>34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0A18D-3DA6-E470-7989-CC1098A8C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ram" refreshedDate="45566.961771527778" createdVersion="8" refreshedVersion="8" minRefreshableVersion="3" recordCount="11" xr:uid="{BD056328-3BB8-407B-92EB-262A3825901A}">
  <cacheSource type="worksheet">
    <worksheetSource ref="A1:C12" sheet="KNN_Model"/>
  </cacheSource>
  <cacheFields count="3">
    <cacheField name="Age" numFmtId="0">
      <sharedItems containsSemiMixedTypes="0" containsString="0" containsNumber="1" containsInteger="1" minValue="23" maxValue="60" count="9">
        <n v="25"/>
        <n v="35"/>
        <n v="45"/>
        <n v="52"/>
        <n v="23"/>
        <n v="40"/>
        <n v="60"/>
        <n v="48"/>
        <n v="33"/>
      </sharedItems>
    </cacheField>
    <cacheField name="Loan" numFmtId="0">
      <sharedItems containsSemiMixedTypes="0" containsString="0" containsNumber="1" containsInteger="1" minValue="18000" maxValue="220000" count="11">
        <n v="40000"/>
        <n v="60000"/>
        <n v="80000"/>
        <n v="20000"/>
        <n v="120000"/>
        <n v="18000"/>
        <n v="95000"/>
        <n v="62000"/>
        <n v="100000"/>
        <n v="220000"/>
        <n v="150000"/>
      </sharedItems>
    </cacheField>
    <cacheField name="Default" numFmtId="0">
      <sharedItems count="2">
        <s v="N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</r>
  <r>
    <x v="1"/>
    <x v="1"/>
    <x v="0"/>
  </r>
  <r>
    <x v="2"/>
    <x v="2"/>
    <x v="0"/>
  </r>
  <r>
    <x v="0"/>
    <x v="3"/>
    <x v="0"/>
  </r>
  <r>
    <x v="1"/>
    <x v="4"/>
    <x v="0"/>
  </r>
  <r>
    <x v="3"/>
    <x v="5"/>
    <x v="0"/>
  </r>
  <r>
    <x v="4"/>
    <x v="6"/>
    <x v="1"/>
  </r>
  <r>
    <x v="5"/>
    <x v="7"/>
    <x v="1"/>
  </r>
  <r>
    <x v="6"/>
    <x v="8"/>
    <x v="1"/>
  </r>
  <r>
    <x v="7"/>
    <x v="9"/>
    <x v="1"/>
  </r>
  <r>
    <x v="8"/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7B173-3349-4868-9934-68F43E36F0B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4" firstHeaderRow="1" firstDataRow="2" firstDataCol="1"/>
  <pivotFields count="3">
    <pivotField axis="axisRow" showAll="0">
      <items count="10">
        <item x="4"/>
        <item x="0"/>
        <item x="8"/>
        <item x="1"/>
        <item x="5"/>
        <item x="2"/>
        <item x="7"/>
        <item x="3"/>
        <item x="6"/>
        <item t="default"/>
      </items>
    </pivotField>
    <pivotField dataField="1" showAll="0">
      <items count="12">
        <item x="5"/>
        <item x="3"/>
        <item x="0"/>
        <item x="1"/>
        <item x="7"/>
        <item x="2"/>
        <item x="6"/>
        <item x="8"/>
        <item x="4"/>
        <item x="10"/>
        <item x="9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Loan" fld="1" subtotal="average" baseField="0" baseItem="0"/>
  </dataFields>
  <chartFormats count="2">
    <chartFormat chart="0" format="35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6" series="1">
      <pivotArea type="data" outline="0" fieldPosition="0">
        <references count="1"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129B6-24C6-414C-8D0A-F0819DD16F8E}" name="Table2" displayName="Table2" ref="A21:C31" totalsRowShown="0" headerRowDxfId="0">
  <autoFilter ref="A21:C31" xr:uid="{0C9129B6-24C6-414C-8D0A-F0819DD16F8E}"/>
  <tableColumns count="3">
    <tableColumn id="1" xr3:uid="{3F2D3CA7-6E23-489C-A006-E975FC3DA58D}" name="Age"/>
    <tableColumn id="2" xr3:uid="{AC2B63E7-D7B1-4CBF-B39D-6354148D046D}" name="Loan Non-Default"/>
    <tableColumn id="3" xr3:uid="{D198A4EC-E66A-4A3F-A95E-079AC3662074}" name="Loan Defaul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D25" sqref="D25"/>
    </sheetView>
  </sheetViews>
  <sheetFormatPr defaultRowHeight="14.4" x14ac:dyDescent="0.3"/>
  <cols>
    <col min="7" max="7" width="19.33203125" bestFit="1" customWidth="1"/>
    <col min="9" max="10" width="23.77734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G1" s="4" t="s">
        <v>6</v>
      </c>
      <c r="H1" s="3" t="s">
        <v>2</v>
      </c>
      <c r="J1" s="4" t="s">
        <v>7</v>
      </c>
      <c r="K1" s="4" t="s">
        <v>2</v>
      </c>
    </row>
    <row r="2" spans="1:11" x14ac:dyDescent="0.3">
      <c r="A2">
        <v>25</v>
      </c>
      <c r="B2">
        <v>40000</v>
      </c>
      <c r="C2" t="s">
        <v>4</v>
      </c>
      <c r="D2">
        <v>102000</v>
      </c>
      <c r="G2">
        <f t="shared" ref="G2:G12" si="0">SQRT(($A$14-A2)^2+($B$14-B2)^2)</f>
        <v>102000.00259313722</v>
      </c>
      <c r="H2" t="s">
        <v>4</v>
      </c>
      <c r="J2">
        <v>8000.0140624876403</v>
      </c>
      <c r="K2" t="s">
        <v>5</v>
      </c>
    </row>
    <row r="3" spans="1:11" x14ac:dyDescent="0.3">
      <c r="A3">
        <v>35</v>
      </c>
      <c r="B3">
        <v>60000</v>
      </c>
      <c r="C3" t="s">
        <v>4</v>
      </c>
      <c r="D3">
        <v>82000</v>
      </c>
      <c r="G3">
        <f t="shared" si="0"/>
        <v>82000.001030487794</v>
      </c>
      <c r="H3" t="s">
        <v>4</v>
      </c>
      <c r="J3">
        <v>22000.003840908757</v>
      </c>
      <c r="K3" t="s">
        <v>4</v>
      </c>
    </row>
    <row r="4" spans="1:11" x14ac:dyDescent="0.3">
      <c r="A4">
        <v>45</v>
      </c>
      <c r="B4">
        <v>80000</v>
      </c>
      <c r="C4" t="s">
        <v>4</v>
      </c>
      <c r="D4">
        <v>62000</v>
      </c>
      <c r="G4">
        <f t="shared" si="0"/>
        <v>62000.000072580646</v>
      </c>
      <c r="H4" t="s">
        <v>4</v>
      </c>
      <c r="J4">
        <v>42000.001714285681</v>
      </c>
      <c r="K4" t="s">
        <v>5</v>
      </c>
    </row>
    <row r="5" spans="1:11" x14ac:dyDescent="0.3">
      <c r="A5">
        <v>25</v>
      </c>
      <c r="B5">
        <v>20000</v>
      </c>
      <c r="C5" t="s">
        <v>4</v>
      </c>
      <c r="D5">
        <v>122000</v>
      </c>
      <c r="G5">
        <f t="shared" si="0"/>
        <v>122000.00216803276</v>
      </c>
      <c r="H5" t="s">
        <v>4</v>
      </c>
      <c r="J5">
        <v>47000.006648935698</v>
      </c>
      <c r="K5" t="s">
        <v>5</v>
      </c>
    </row>
    <row r="6" spans="1:11" x14ac:dyDescent="0.3">
      <c r="A6">
        <v>35</v>
      </c>
      <c r="B6">
        <v>120000</v>
      </c>
      <c r="C6" t="s">
        <v>4</v>
      </c>
      <c r="D6">
        <v>22000</v>
      </c>
      <c r="G6">
        <f t="shared" si="0"/>
        <v>22000.003840908757</v>
      </c>
      <c r="H6" t="s">
        <v>4</v>
      </c>
      <c r="J6">
        <v>62000.000072580646</v>
      </c>
      <c r="K6" t="s">
        <v>4</v>
      </c>
    </row>
    <row r="7" spans="1:11" x14ac:dyDescent="0.3">
      <c r="A7">
        <v>52</v>
      </c>
      <c r="B7">
        <v>18000</v>
      </c>
      <c r="C7" t="s">
        <v>4</v>
      </c>
      <c r="D7">
        <v>124000</v>
      </c>
      <c r="G7">
        <f t="shared" si="0"/>
        <v>124000.00006451613</v>
      </c>
      <c r="H7" t="s">
        <v>4</v>
      </c>
      <c r="J7">
        <v>78000</v>
      </c>
      <c r="K7" t="s">
        <v>5</v>
      </c>
    </row>
    <row r="8" spans="1:11" x14ac:dyDescent="0.3">
      <c r="A8">
        <v>23</v>
      </c>
      <c r="B8">
        <v>95000</v>
      </c>
      <c r="C8" t="s">
        <v>5</v>
      </c>
      <c r="D8">
        <v>47000</v>
      </c>
      <c r="G8">
        <f t="shared" si="0"/>
        <v>47000.006648935698</v>
      </c>
      <c r="H8" t="s">
        <v>5</v>
      </c>
      <c r="J8">
        <v>80000.000400000004</v>
      </c>
      <c r="K8" t="s">
        <v>5</v>
      </c>
    </row>
    <row r="9" spans="1:11" x14ac:dyDescent="0.3">
      <c r="A9">
        <v>40</v>
      </c>
      <c r="B9">
        <v>62000</v>
      </c>
      <c r="C9" t="s">
        <v>5</v>
      </c>
      <c r="D9">
        <v>80000</v>
      </c>
      <c r="G9">
        <f t="shared" si="0"/>
        <v>80000.000400000004</v>
      </c>
      <c r="H9" t="s">
        <v>5</v>
      </c>
      <c r="J9">
        <v>82000.001030487794</v>
      </c>
      <c r="K9" t="s">
        <v>4</v>
      </c>
    </row>
    <row r="10" spans="1:11" x14ac:dyDescent="0.3">
      <c r="A10">
        <v>60</v>
      </c>
      <c r="B10">
        <v>100000</v>
      </c>
      <c r="C10" t="s">
        <v>5</v>
      </c>
      <c r="D10">
        <v>42000</v>
      </c>
      <c r="G10">
        <f t="shared" si="0"/>
        <v>42000.001714285681</v>
      </c>
      <c r="H10" t="s">
        <v>5</v>
      </c>
      <c r="J10">
        <v>102000.00259313722</v>
      </c>
      <c r="K10" t="s">
        <v>4</v>
      </c>
    </row>
    <row r="11" spans="1:11" x14ac:dyDescent="0.3">
      <c r="A11">
        <v>48</v>
      </c>
      <c r="B11">
        <v>220000</v>
      </c>
      <c r="C11" t="s">
        <v>5</v>
      </c>
      <c r="D11">
        <v>78000</v>
      </c>
      <c r="G11">
        <f t="shared" si="0"/>
        <v>78000</v>
      </c>
      <c r="H11" t="s">
        <v>5</v>
      </c>
      <c r="J11">
        <v>122000.00216803276</v>
      </c>
      <c r="K11" t="s">
        <v>4</v>
      </c>
    </row>
    <row r="12" spans="1:11" x14ac:dyDescent="0.3">
      <c r="A12">
        <v>33</v>
      </c>
      <c r="B12">
        <v>150000</v>
      </c>
      <c r="C12" t="s">
        <v>5</v>
      </c>
      <c r="D12">
        <v>8000</v>
      </c>
      <c r="G12">
        <f t="shared" si="0"/>
        <v>8000.0140624876403</v>
      </c>
      <c r="H12" t="s">
        <v>5</v>
      </c>
      <c r="J12">
        <v>124000.00006451613</v>
      </c>
      <c r="K12" t="s">
        <v>4</v>
      </c>
    </row>
    <row r="14" spans="1:11" x14ac:dyDescent="0.3">
      <c r="A14" s="5">
        <v>48</v>
      </c>
      <c r="B14" s="5">
        <v>142000</v>
      </c>
      <c r="C14" s="5" t="s">
        <v>15</v>
      </c>
      <c r="D14" t="s">
        <v>16</v>
      </c>
    </row>
    <row r="15" spans="1:11" x14ac:dyDescent="0.3">
      <c r="B15" s="1"/>
    </row>
    <row r="17" spans="1:9" x14ac:dyDescent="0.3">
      <c r="H17" s="6" t="s">
        <v>8</v>
      </c>
      <c r="I17" s="7" t="s">
        <v>2</v>
      </c>
    </row>
    <row r="18" spans="1:9" x14ac:dyDescent="0.3">
      <c r="A18" s="11" t="s">
        <v>17</v>
      </c>
      <c r="B18" s="11"/>
      <c r="C18" s="11"/>
      <c r="D18" s="11"/>
      <c r="E18" s="11"/>
      <c r="F18" s="11"/>
      <c r="G18" s="11"/>
      <c r="H18" s="11">
        <v>1</v>
      </c>
      <c r="I18" s="11" t="str">
        <f>IF(COUNTIF($J$2:$K2, "Y") &gt; COUNTIF($J$2:$K2, "N"), "Y", "N")</f>
        <v>Y</v>
      </c>
    </row>
    <row r="19" spans="1:9" x14ac:dyDescent="0.3">
      <c r="A19" s="11" t="s">
        <v>18</v>
      </c>
      <c r="B19" s="11"/>
      <c r="C19" s="11"/>
      <c r="D19" s="11"/>
      <c r="E19" s="11"/>
      <c r="F19" s="11"/>
      <c r="G19" s="11"/>
      <c r="H19" s="11">
        <v>2</v>
      </c>
      <c r="I19" s="11" t="str">
        <f>IF(COUNTIF($J$2:$K3, "Y") &gt; COUNTIF($J$2:$K3, "N"), "Y", "N")</f>
        <v>N</v>
      </c>
    </row>
    <row r="20" spans="1:9" x14ac:dyDescent="0.3">
      <c r="A20" s="11" t="s">
        <v>19</v>
      </c>
      <c r="B20" s="11"/>
      <c r="C20" s="11"/>
      <c r="D20" s="11"/>
      <c r="E20" s="11"/>
      <c r="F20" s="11"/>
      <c r="G20" s="11"/>
      <c r="H20" s="11">
        <v>3</v>
      </c>
      <c r="I20" s="11" t="str">
        <f>IF(COUNTIF($J$2:$K4, "Y") &gt; COUNTIF($J$2:$K4, "N"), "Y", "N")</f>
        <v>Y</v>
      </c>
    </row>
    <row r="21" spans="1:9" x14ac:dyDescent="0.3">
      <c r="A21" s="11" t="s">
        <v>20</v>
      </c>
      <c r="B21" s="11"/>
      <c r="C21" s="11"/>
      <c r="D21" s="11"/>
      <c r="E21" s="11"/>
      <c r="F21" s="11"/>
      <c r="G21" s="11"/>
      <c r="H21" s="11">
        <v>4</v>
      </c>
      <c r="I21" s="11" t="str">
        <f>IF(COUNTIF($J$2:$K5, "Y") &gt; COUNTIF($J$2:$K5, "N"), "Y", "N")</f>
        <v>Y</v>
      </c>
    </row>
    <row r="22" spans="1:9" x14ac:dyDescent="0.3">
      <c r="A22" s="11" t="s">
        <v>21</v>
      </c>
      <c r="B22" s="11"/>
      <c r="C22" s="11"/>
      <c r="D22" s="11"/>
      <c r="E22" s="11"/>
      <c r="F22" s="11"/>
      <c r="G22" s="11"/>
      <c r="H22" s="11">
        <v>5</v>
      </c>
      <c r="I22" s="11" t="str">
        <f>IF(COUNTIF($J$2:$K6, "Y") &gt; COUNTIF($J$2:$K6, "N"), "Y", "N")</f>
        <v>Y</v>
      </c>
    </row>
    <row r="23" spans="1:9" x14ac:dyDescent="0.3">
      <c r="H23" s="8">
        <v>6</v>
      </c>
      <c r="I23" s="8" t="str">
        <f>IF(COUNTIF($J$2:$K7, "Y") &gt; COUNTIF($J$2:$K7, "N"), "Y", "N")</f>
        <v>Y</v>
      </c>
    </row>
    <row r="24" spans="1:9" x14ac:dyDescent="0.3">
      <c r="H24" s="8">
        <v>7</v>
      </c>
      <c r="I24" s="8" t="str">
        <f>IF(COUNTIF($J$2:$K8, "Y") &gt; COUNTIF($J$2:$K8, "N"), "Y", "N")</f>
        <v>Y</v>
      </c>
    </row>
    <row r="25" spans="1:9" x14ac:dyDescent="0.3">
      <c r="H25" s="8">
        <v>8</v>
      </c>
      <c r="I25" s="8" t="str">
        <f>IF(COUNTIF($J$2:$K9, "Y") &gt; COUNTIF($J$2:$K9, "N"), "Y", "N")</f>
        <v>Y</v>
      </c>
    </row>
    <row r="26" spans="1:9" x14ac:dyDescent="0.3">
      <c r="H26" s="8">
        <v>9</v>
      </c>
      <c r="I26" s="8" t="str">
        <f>IF(COUNTIF($J$2:$K10, "Y") &gt; COUNTIF($J$2:$K10, "N"), "Y", "N")</f>
        <v>Y</v>
      </c>
    </row>
    <row r="27" spans="1:9" x14ac:dyDescent="0.3">
      <c r="H27" s="8">
        <v>10</v>
      </c>
      <c r="I27" s="8" t="str">
        <f>IF(COUNTIF($J$2:$K11, "Y") &gt; COUNTIF($J$2:$K11, "N"), "Y", "N")</f>
        <v>N</v>
      </c>
    </row>
    <row r="28" spans="1:9" x14ac:dyDescent="0.3">
      <c r="H28" s="8">
        <v>11</v>
      </c>
      <c r="I28" s="8" t="str">
        <f>IF(COUNTIF($J$2:$K12, "Y") &gt; COUNTIF($J$2:$K12, "N"), "Y", "N")</f>
        <v>N</v>
      </c>
    </row>
  </sheetData>
  <sortState xmlns:xlrd2="http://schemas.microsoft.com/office/spreadsheetml/2017/richdata2" ref="J2:K12">
    <sortCondition ref="J2:J1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6245-25CC-44D1-9992-3030CE05336B}">
  <dimension ref="A3:D31"/>
  <sheetViews>
    <sheetView topLeftCell="A13" workbookViewId="0">
      <selection activeCell="N20" sqref="N20"/>
    </sheetView>
  </sheetViews>
  <sheetFormatPr defaultRowHeight="14.4" x14ac:dyDescent="0.3"/>
  <cols>
    <col min="1" max="1" width="14.77734375" bestFit="1" customWidth="1"/>
    <col min="2" max="2" width="17.77734375" customWidth="1"/>
    <col min="3" max="3" width="13.5546875" customWidth="1"/>
    <col min="4" max="4" width="12" bestFit="1" customWidth="1"/>
    <col min="5" max="5" width="10.6640625" bestFit="1" customWidth="1"/>
    <col min="6" max="6" width="8" bestFit="1" customWidth="1"/>
    <col min="7" max="7" width="10.6640625" bestFit="1" customWidth="1"/>
    <col min="8" max="8" width="8" bestFit="1" customWidth="1"/>
    <col min="9" max="9" width="10.6640625" bestFit="1" customWidth="1"/>
    <col min="10" max="10" width="8" bestFit="1" customWidth="1"/>
    <col min="11" max="11" width="10.6640625" bestFit="1" customWidth="1"/>
    <col min="12" max="12" width="8" bestFit="1" customWidth="1"/>
    <col min="13" max="13" width="10.6640625" bestFit="1" customWidth="1"/>
    <col min="14" max="14" width="8" bestFit="1" customWidth="1"/>
    <col min="15" max="15" width="10.6640625" bestFit="1" customWidth="1"/>
    <col min="16" max="16" width="9" bestFit="1" customWidth="1"/>
    <col min="17" max="17" width="11.6640625" bestFit="1" customWidth="1"/>
    <col min="18" max="18" width="9" bestFit="1" customWidth="1"/>
    <col min="19" max="19" width="11.6640625" bestFit="1" customWidth="1"/>
    <col min="20" max="20" width="9" bestFit="1" customWidth="1"/>
    <col min="21" max="21" width="11.6640625" bestFit="1" customWidth="1"/>
    <col min="22" max="22" width="9" bestFit="1" customWidth="1"/>
    <col min="23" max="23" width="11.6640625" bestFit="1" customWidth="1"/>
    <col min="24" max="24" width="10.77734375" bestFit="1" customWidth="1"/>
  </cols>
  <sheetData>
    <row r="3" spans="1:4" x14ac:dyDescent="0.3">
      <c r="A3" s="9" t="s">
        <v>12</v>
      </c>
      <c r="B3" s="9" t="s">
        <v>11</v>
      </c>
    </row>
    <row r="4" spans="1:4" x14ac:dyDescent="0.3">
      <c r="A4" s="9" t="s">
        <v>9</v>
      </c>
      <c r="B4" t="s">
        <v>4</v>
      </c>
      <c r="C4" t="s">
        <v>5</v>
      </c>
      <c r="D4" t="s">
        <v>10</v>
      </c>
    </row>
    <row r="5" spans="1:4" x14ac:dyDescent="0.3">
      <c r="A5" s="10">
        <v>23</v>
      </c>
      <c r="C5">
        <v>95000</v>
      </c>
      <c r="D5">
        <v>95000</v>
      </c>
    </row>
    <row r="6" spans="1:4" x14ac:dyDescent="0.3">
      <c r="A6" s="10">
        <v>25</v>
      </c>
      <c r="B6">
        <v>30000</v>
      </c>
      <c r="D6">
        <v>30000</v>
      </c>
    </row>
    <row r="7" spans="1:4" x14ac:dyDescent="0.3">
      <c r="A7" s="10">
        <v>33</v>
      </c>
      <c r="C7">
        <v>150000</v>
      </c>
      <c r="D7">
        <v>150000</v>
      </c>
    </row>
    <row r="8" spans="1:4" x14ac:dyDescent="0.3">
      <c r="A8" s="10">
        <v>35</v>
      </c>
      <c r="B8">
        <v>90000</v>
      </c>
      <c r="D8">
        <v>90000</v>
      </c>
    </row>
    <row r="9" spans="1:4" x14ac:dyDescent="0.3">
      <c r="A9" s="10">
        <v>40</v>
      </c>
      <c r="C9">
        <v>62000</v>
      </c>
      <c r="D9">
        <v>62000</v>
      </c>
    </row>
    <row r="10" spans="1:4" x14ac:dyDescent="0.3">
      <c r="A10" s="10">
        <v>45</v>
      </c>
      <c r="B10">
        <v>80000</v>
      </c>
      <c r="D10">
        <v>80000</v>
      </c>
    </row>
    <row r="11" spans="1:4" x14ac:dyDescent="0.3">
      <c r="A11" s="10">
        <v>48</v>
      </c>
      <c r="C11">
        <v>220000</v>
      </c>
      <c r="D11">
        <v>220000</v>
      </c>
    </row>
    <row r="12" spans="1:4" x14ac:dyDescent="0.3">
      <c r="A12" s="10">
        <v>52</v>
      </c>
      <c r="B12">
        <v>18000</v>
      </c>
      <c r="D12">
        <v>18000</v>
      </c>
    </row>
    <row r="13" spans="1:4" x14ac:dyDescent="0.3">
      <c r="A13" s="10">
        <v>60</v>
      </c>
      <c r="C13">
        <v>100000</v>
      </c>
      <c r="D13">
        <v>100000</v>
      </c>
    </row>
    <row r="14" spans="1:4" x14ac:dyDescent="0.3">
      <c r="A14" s="10" t="s">
        <v>10</v>
      </c>
      <c r="B14">
        <v>56333.333333333336</v>
      </c>
      <c r="C14">
        <v>125400</v>
      </c>
      <c r="D14">
        <v>87727.272727272721</v>
      </c>
    </row>
    <row r="21" spans="1:4" x14ac:dyDescent="0.3">
      <c r="A21" s="2" t="s">
        <v>0</v>
      </c>
      <c r="B21" s="2" t="s">
        <v>13</v>
      </c>
      <c r="C21" s="2" t="s">
        <v>14</v>
      </c>
      <c r="D21" s="2"/>
    </row>
    <row r="22" spans="1:4" x14ac:dyDescent="0.3">
      <c r="A22">
        <v>23</v>
      </c>
      <c r="C22">
        <v>95000</v>
      </c>
    </row>
    <row r="23" spans="1:4" x14ac:dyDescent="0.3">
      <c r="A23">
        <v>25</v>
      </c>
      <c r="B23">
        <v>30000</v>
      </c>
    </row>
    <row r="24" spans="1:4" x14ac:dyDescent="0.3">
      <c r="A24">
        <v>33</v>
      </c>
      <c r="C24">
        <v>150000</v>
      </c>
    </row>
    <row r="25" spans="1:4" x14ac:dyDescent="0.3">
      <c r="A25">
        <v>35</v>
      </c>
      <c r="B25">
        <v>90000</v>
      </c>
    </row>
    <row r="26" spans="1:4" x14ac:dyDescent="0.3">
      <c r="A26">
        <v>40</v>
      </c>
      <c r="C26">
        <v>62000</v>
      </c>
    </row>
    <row r="27" spans="1:4" x14ac:dyDescent="0.3">
      <c r="A27">
        <v>45</v>
      </c>
      <c r="B27">
        <v>80000</v>
      </c>
    </row>
    <row r="28" spans="1:4" x14ac:dyDescent="0.3">
      <c r="A28">
        <v>48</v>
      </c>
      <c r="C28">
        <v>220000</v>
      </c>
    </row>
    <row r="29" spans="1:4" x14ac:dyDescent="0.3">
      <c r="A29">
        <v>52</v>
      </c>
      <c r="B29">
        <v>18000</v>
      </c>
    </row>
    <row r="30" spans="1:4" x14ac:dyDescent="0.3">
      <c r="A30">
        <v>60</v>
      </c>
      <c r="C30">
        <v>100000</v>
      </c>
    </row>
    <row r="31" spans="1:4" x14ac:dyDescent="0.3">
      <c r="A31" s="5">
        <v>48</v>
      </c>
      <c r="C31" s="5">
        <v>142000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KNN_Model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sairam vodnala</cp:lastModifiedBy>
  <dcterms:created xsi:type="dcterms:W3CDTF">2024-10-01T19:07:44Z</dcterms:created>
  <dcterms:modified xsi:type="dcterms:W3CDTF">2024-10-04T16:51:16Z</dcterms:modified>
</cp:coreProperties>
</file>